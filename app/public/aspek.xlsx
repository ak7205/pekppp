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tkho\Downloads\"/>
    </mc:Choice>
  </mc:AlternateContent>
  <xr:revisionPtr revIDLastSave="0" documentId="13_ncr:1_{0DC8D269-355A-4422-A021-92E75F6E4891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" i="1"/>
  <c r="F32" i="1"/>
  <c r="F33" i="1"/>
  <c r="F34" i="1"/>
  <c r="F31" i="1"/>
  <c r="F14" i="1"/>
  <c r="F15" i="1"/>
  <c r="F16" i="1"/>
  <c r="F17" i="1"/>
  <c r="F13" i="1"/>
</calcChain>
</file>

<file path=xl/sharedStrings.xml><?xml version="1.0" encoding="utf-8"?>
<sst xmlns="http://schemas.openxmlformats.org/spreadsheetml/2006/main" count="135" uniqueCount="107">
  <si>
    <t>nama_aspek</t>
  </si>
  <si>
    <t>bobot_aspek</t>
  </si>
  <si>
    <t>urutan_aspek</t>
  </si>
  <si>
    <t>kode_indikator</t>
  </si>
  <si>
    <t>nama_indikator</t>
  </si>
  <si>
    <t>bobot_indikator</t>
  </si>
  <si>
    <t>tipe_nilai</t>
  </si>
  <si>
    <t>link_storage</t>
  </si>
  <si>
    <t>catatan</t>
  </si>
  <si>
    <t>urutan</t>
  </si>
  <si>
    <t>Kebujakan Pelayanan</t>
  </si>
  <si>
    <t>1.a.K</t>
  </si>
  <si>
    <t>Tersedia Standar Pelayanan (SP) sesuai dengan ketentuan peraturan perundang-undangan yang berlaku.</t>
  </si>
  <si>
    <t>likert</t>
  </si>
  <si>
    <t>Profesionalisme SDM</t>
  </si>
  <si>
    <t>Sarana Dan Prasarana</t>
  </si>
  <si>
    <t>Sistem Informasi Pelayanan Publik</t>
  </si>
  <si>
    <t>Konsultasi Dan Pengaduan</t>
  </si>
  <si>
    <t>Inovasi</t>
  </si>
  <si>
    <t xml:space="preserve"> Proses penyusunan dan perubahan SP telah melibatkan unsur masyarakat.</t>
  </si>
  <si>
    <t xml:space="preserve"> Jumlah media publikasi untuk komponen service delivery.</t>
  </si>
  <si>
    <t xml:space="preserve"> Telah dilakukan peninjauan ulang secara berkala terhadap Standar Pelayanan.</t>
  </si>
  <si>
    <t xml:space="preserve"> Pemenuhan siklus Maklumat Pelayanan (ketersediaan, penetapan, dan publikasi).</t>
  </si>
  <si>
    <t xml:space="preserve"> SKM yang dilaksanakan sesuai dengan Peraturan Menteri PANRB Nomor 14 Tahun 2017</t>
  </si>
  <si>
    <t xml:space="preserve"> Jumlah media publikasi hasil SKM.</t>
  </si>
  <si>
    <t xml:space="preserve"> Persentase rencana tindak lanjut hasil SKM yang telah selesai ditindaklanjuti.</t>
  </si>
  <si>
    <t xml:space="preserve"> Kecepatan tindak lanjut hasil SKM seluruh jenis pelayanan.</t>
  </si>
  <si>
    <t>2.a.P</t>
  </si>
  <si>
    <t>3.a.T</t>
  </si>
  <si>
    <t>4.a.K</t>
  </si>
  <si>
    <t>5.a.K</t>
  </si>
  <si>
    <t>6.a.B</t>
  </si>
  <si>
    <t>7.a.T</t>
  </si>
  <si>
    <t>8.a.Ak</t>
  </si>
  <si>
    <t>9.a.Ak</t>
  </si>
  <si>
    <t>10.b.As</t>
  </si>
  <si>
    <t>Tersedia waktu pelayanan yang memudahkan pengguna layanan.</t>
  </si>
  <si>
    <t>11.b.K</t>
  </si>
  <si>
    <t>Tersedia Kode Etik dan Kode Perilaku Pelaksana dan/atau Budaya Pelayanan di lingkungan instansi.</t>
  </si>
  <si>
    <t>12.b.Ak</t>
  </si>
  <si>
    <t>Tersedia mekanisme yang dibangun untuk menjaga dan meningkatkan motivasi kerja Pelaksana pelayanan.</t>
  </si>
  <si>
    <t>13.b.K</t>
  </si>
  <si>
    <t>Tersedia kriteria pemberian penghargaan bagi pegawai pelaksana layanan yang berprestasi.</t>
  </si>
  <si>
    <t>14.b.K</t>
  </si>
  <si>
    <t>Tersedia pelaksana pelayanan yang menerapkan budaya pelayanan.</t>
  </si>
  <si>
    <t>20.c.B</t>
  </si>
  <si>
    <t>15.c.K</t>
  </si>
  <si>
    <t>Tersedianya tempat parkir dengan fasilitas pendukung yang memadai</t>
  </si>
  <si>
    <t>16.c.As</t>
  </si>
  <si>
    <t>Tersedia ruang tunggu dengan fasilitas wajib dan pelengkap</t>
  </si>
  <si>
    <t>17.c.As</t>
  </si>
  <si>
    <t>Tersedia sarana toilet pengguna layanan yang layak pakai</t>
  </si>
  <si>
    <t>18.c.K</t>
  </si>
  <si>
    <t>Tersedia sarana prasarana bagi pengguna layanan kelompok rentan</t>
  </si>
  <si>
    <t>19.c.As</t>
  </si>
  <si>
    <t>Tersedia sarana prasarana penunjang</t>
  </si>
  <si>
    <t>Sarana Front Office (FO) Informasi di unit layanan</t>
  </si>
  <si>
    <t>21.d.T</t>
  </si>
  <si>
    <t>Tersedia sistem informasi pelayanan publik untuk informasi publik</t>
  </si>
  <si>
    <t>22.d.B</t>
  </si>
  <si>
    <t>Tersedia sistem informasi pelayanan publik pendukung operasional pelayanan</t>
  </si>
  <si>
    <t>23.d.As</t>
  </si>
  <si>
    <t>24.d.T</t>
  </si>
  <si>
    <t>Pemutakhiran data dan informasi kanal digital</t>
  </si>
  <si>
    <t>25.e.P</t>
  </si>
  <si>
    <t>Tersedia sarana konsultasi dan pengaduan secara tatap muka yang berkualitas</t>
  </si>
  <si>
    <t>26.e.P</t>
  </si>
  <si>
    <t>Tersedia sarana dan media konsultasi serta pengaduan yang bisa dimanfaatkan semua lapisan masyarakat</t>
  </si>
  <si>
    <t>27.e.AK</t>
  </si>
  <si>
    <t>Tersedia akuntabilitas hasil konsultasi dan atau pengaduan</t>
  </si>
  <si>
    <t>28.e.Ak</t>
  </si>
  <si>
    <t>Tersedia tindak lanjut atas konsultasi dan pengaduan dari semua lapisan masyarakat</t>
  </si>
  <si>
    <t>29.f.b</t>
  </si>
  <si>
    <t>Penciptaan Inovasi Pelayanan Publik</t>
  </si>
  <si>
    <t>30.f.b</t>
  </si>
  <si>
    <t>Sumber Daya yang Mendukung Keberlanjutan Inovasi Pelayanan Publik</t>
  </si>
  <si>
    <t>https://1drv.ms/f/c/239A224CB4F0FEA6/IgDRWRUJMfogR4PUmcnu_BwzAU0zOu2Viyem9qDJ7M9KtQM?e=QjLdVA</t>
  </si>
  <si>
    <t>https://1drv.ms/f/c/239A224CB4F0FEA6/IgA8sZdek8HVSp-tqTV4YefLAXhdWoCEtrDAcQ5PRuIGGmc?e=Nc2KGa</t>
  </si>
  <si>
    <t>https://1drv.ms/f/c/239A224CB4F0FEA6/IgBNOwPZgN3_Qb_ALMvfPbSgAW7o6HUMsvPZxUJy5hZa2ko?e=Ms2oCc</t>
  </si>
  <si>
    <t>https://1drv.ms/f/c/239A224CB4F0FEA6/IgDJ5scomtI7SpQZDAjnIAjSAarlWXjnFz23xxcx4xqdjo8?e=x12l7X</t>
  </si>
  <si>
    <t>https://1drv.ms/f/c/239A224CB4F0FEA6/IgA28RZNnDpjQYVO8d89hbeDAcYIQehhlaHwgTI-W5RAs3U?e=tsdciO</t>
  </si>
  <si>
    <t>https://1drv.ms/f/c/239A224CB4F0FEA6/IgDjY5LeZfz_SKoYduKVJKPoAawujaeHl1j4Fk_NjsuBWlM?e=IK4Mpr</t>
  </si>
  <si>
    <t>https://1drv.ms/f/c/239A224CB4F0FEA6/IgCJjPY65TINSr5fYy6vE29xAWkD52H0ceaGkvOQP_slGPA?e=O1Tzwq</t>
  </si>
  <si>
    <t>https://1drv.ms/f/c/239A224CB4F0FEA6/IgA4RCN31TfcQ5oepv-Mr1bxAXNO15RiaYTBKI0Gmwc3mUU?e=KoO0kp</t>
  </si>
  <si>
    <t>https://1drv.ms/f/c/239A224CB4F0FEA6/IgBc-p9FxqaLQJjFVPX_awuNAS5kG1V8sEycP054ez0GfOE?e=k7VWkl</t>
  </si>
  <si>
    <t>https://1drv.ms/f/c/239A224CB4F0FEA6/IgDQuCDiqvv4Qqjb3iq_RvaoAfq_eRfxg3fVt-b-X7KyYw0?e=RWsslM</t>
  </si>
  <si>
    <t>https://1drv.ms/f/c/239A224CB4F0FEA6/IgA2ye9qx5mKTYnjLnVCvltNATjUeQHWjUxInzWG3UM4-UM?e=AZ5BID</t>
  </si>
  <si>
    <t>https://1drv.ms/f/c/239A224CB4F0FEA6/IgDODPuZiubnTZUpZ3oLJxZRASzVzrGJ8pJlQ9C1zQE4qvk?e=Rxy4De</t>
  </si>
  <si>
    <t>https://1drv.ms/f/c/239A224CB4F0FEA6/IgCccfKI0E7sQpVOevIxigxRAcHaGQp8Ab9SocFeZoFR5YE?e=8BDEzp</t>
  </si>
  <si>
    <t>https://1drv.ms/f/c/239A224CB4F0FEA6/IgC5dCQ-AoRFS6UfcwCNcQPLAepGtQruYREl_Tle2n-QAyU?e=IEkaoD</t>
  </si>
  <si>
    <t>https://1drv.ms/f/c/239A224CB4F0FEA6/IgBas8qxQ4Q7SaanEv-PhmCkAfNHBnIkYGNHkddP0ln1hXc?e=U0dsFh</t>
  </si>
  <si>
    <t>https://1drv.ms/f/c/239A224CB4F0FEA6/IgBXnOH8dm_9Q5DMQnMpp-a2Ad-CaiJiAWphcYzOoLzcOX4?e=ouyJ8U</t>
  </si>
  <si>
    <t>https://1drv.ms/f/c/239A224CB4F0FEA6/IgDGeO_oakpLQbEK-Ypbwy7YAZrFzT7-D4JEfb0cmjEHHb0?e=NuDgpz</t>
  </si>
  <si>
    <t>https://1drv.ms/f/c/239A224CB4F0FEA6/IgC66crIRoNZRoiuc1sbOoBGAebMbUnngU8xSy9SbR5i-gs?e=kAavKm</t>
  </si>
  <si>
    <t>https://1drv.ms/f/c/239A224CB4F0FEA6/IgBmd18AddkPQ7C8OMv0tzlvAZJYpzc0bDynOf2TcC6U644?e=tLKpPE</t>
  </si>
  <si>
    <t>https://1drv.ms/f/c/239A224CB4F0FEA6/IgDS-ayGElutTqHxDoSdcAYGAWeccOEzsaeAEtr6VQwvhXY?e=xPpz1U</t>
  </si>
  <si>
    <t>Kualitas penggunaan SIPP Elektronik</t>
  </si>
  <si>
    <t>https://1drv.ms/f/c/239A224CB4F0FEA6/IgBbpYBoqb9_TLGrsUHqj6tlAYioENMRt54rGDyIO-rdolU?e=rAEfLw</t>
  </si>
  <si>
    <t>https://1drv.ms/f/c/239A224CB4F0FEA6/IgCxx2cZvjMPTI4PYp_tOj-WAScRClkq6cRvQFIvWJabRLQ?e=KCGPp7</t>
  </si>
  <si>
    <t>https://1drv.ms/f/c/239A224CB4F0FEA6/IgB9_v9n3TRTToBjUSOQMbezARzZK4Ijbdvu_pas4Gd64x8?e=I52yUt</t>
  </si>
  <si>
    <t>https://1drv.ms/f/c/239A224CB4F0FEA6/IgBj3nEg7_nETZVOu5L8QwXkAXOgzPf693STTkWjBjDtlGY?e=EyYtfH</t>
  </si>
  <si>
    <t>https://1drv.ms/f/c/239A224CB4F0FEA6/IgCNU8sTTX-TQJcSb97qzGNEAUMuHKSGojQXU9ZhttJuaVA?e=VsQRIc</t>
  </si>
  <si>
    <t>https://1drv.ms/f/c/239A224CB4F0FEA6/IgCCW_Z7Cal9Q6qxun0yxGACAaWBWZgNElzzLbWZ64VTXyc?e=bSKEVi</t>
  </si>
  <si>
    <t>https://1drv.ms/f/c/239A224CB4F0FEA6/IgCc_JAGhiF7Q7pKr8GOerrAAW2dRE1_uNHC6Xwgi4rIato?e=BtP0gc</t>
  </si>
  <si>
    <t>https://1drv.ms/f/c/239A224CB4F0FEA6/IgCdTbTNRhmSSJ3t6LarlNz-ASjjhweoDvSpbURbbm6aAGw?e=T8PeeJ</t>
  </si>
  <si>
    <t>https://1drv.ms/f/c/239A224CB4F0FEA6/IgA0JMI3NSNZQ7UmHazzPh-OASCMn_fJH3pfcoIkxyBKK2w?e=4y24IJ</t>
  </si>
  <si>
    <t>https://1drv.ms/f/c/239A224CB4F0FEA6/IgAPYDseycEbQrUzQDm48LcJAV8cQsqU6J-k0QqfPrE-jBs?e=w8fNZf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</si>
</sst>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3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0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f/c/239A224CB4F0FEA6/IgA4RCN31TfcQ5oepv-Mr1bxAXNO15RiaYTBKI0Gmwc3mUU?e=KoO0kp" TargetMode="External"/><Relationship Id="rId13" Type="http://schemas.openxmlformats.org/officeDocument/2006/relationships/hyperlink" Target="https://1drv.ms/f/c/239A224CB4F0FEA6/IgCccfKI0E7sQpVOevIxigxRAcHaGQp8Ab9SocFeZoFR5YE?e=8BDEzp" TargetMode="External"/><Relationship Id="rId18" Type="http://schemas.openxmlformats.org/officeDocument/2006/relationships/hyperlink" Target="https://1drv.ms/f/c/239A224CB4F0FEA6/IgC66crIRoNZRoiuc1sbOoBGAebMbUnngU8xSy9SbR5i-gs?e=kAavKm" TargetMode="External"/><Relationship Id="rId26" Type="http://schemas.openxmlformats.org/officeDocument/2006/relationships/hyperlink" Target="https://1drv.ms/f/c/239A224CB4F0FEA6/IgCCW_Z7Cal9Q6qxun0yxGACAaWBWZgNElzzLbWZ64VTXyc?e=bSKEVi" TargetMode="External"/><Relationship Id="rId3" Type="http://schemas.openxmlformats.org/officeDocument/2006/relationships/hyperlink" Target="https://1drv.ms/f/c/239A224CB4F0FEA6/IgBNOwPZgN3_Qb_ALMvfPbSgAW7o6HUMsvPZxUJy5hZa2ko?e=Ms2oCc" TargetMode="External"/><Relationship Id="rId21" Type="http://schemas.openxmlformats.org/officeDocument/2006/relationships/hyperlink" Target="https://1drv.ms/f/c/239A224CB4F0FEA6/IgBbpYBoqb9_TLGrsUHqj6tlAYioENMRt54rGDyIO-rdolU?e=rAEfLw" TargetMode="External"/><Relationship Id="rId7" Type="http://schemas.openxmlformats.org/officeDocument/2006/relationships/hyperlink" Target="https://1drv.ms/f/c/239A224CB4F0FEA6/IgCJjPY65TINSr5fYy6vE29xAWkD52H0ceaGkvOQP_slGPA?e=O1Tzwq" TargetMode="External"/><Relationship Id="rId12" Type="http://schemas.openxmlformats.org/officeDocument/2006/relationships/hyperlink" Target="https://1drv.ms/f/c/239A224CB4F0FEA6/IgDODPuZiubnTZUpZ3oLJxZRASzVzrGJ8pJlQ9C1zQE4qvk?e=Rxy4De" TargetMode="External"/><Relationship Id="rId17" Type="http://schemas.openxmlformats.org/officeDocument/2006/relationships/hyperlink" Target="https://1drv.ms/f/c/239A224CB4F0FEA6/IgDGeO_oakpLQbEK-Ypbwy7YAZrFzT7-D4JEfb0cmjEHHb0?e=NuDgpz" TargetMode="External"/><Relationship Id="rId25" Type="http://schemas.openxmlformats.org/officeDocument/2006/relationships/hyperlink" Target="https://1drv.ms/f/c/239A224CB4F0FEA6/IgCNU8sTTX-TQJcSb97qzGNEAUMuHKSGojQXU9ZhttJuaVA?e=VsQRIc" TargetMode="External"/><Relationship Id="rId2" Type="http://schemas.openxmlformats.org/officeDocument/2006/relationships/hyperlink" Target="https://1drv.ms/f/c/239A224CB4F0FEA6/IgA8sZdek8HVSp-tqTV4YefLAXhdWoCEtrDAcQ5PRuIGGmc?e=Nc2KGa" TargetMode="External"/><Relationship Id="rId16" Type="http://schemas.openxmlformats.org/officeDocument/2006/relationships/hyperlink" Target="https://1drv.ms/f/c/239A224CB4F0FEA6/IgBXnOH8dm_9Q5DMQnMpp-a2Ad-CaiJiAWphcYzOoLzcOX4?e=ouyJ8U" TargetMode="External"/><Relationship Id="rId20" Type="http://schemas.openxmlformats.org/officeDocument/2006/relationships/hyperlink" Target="https://1drv.ms/f/c/239A224CB4F0FEA6/IgDS-ayGElutTqHxDoSdcAYGAWeccOEzsaeAEtr6VQwvhXY?e=xPpz1U" TargetMode="External"/><Relationship Id="rId29" Type="http://schemas.openxmlformats.org/officeDocument/2006/relationships/hyperlink" Target="https://1drv.ms/f/c/239A224CB4F0FEA6/IgA0JMI3NSNZQ7UmHazzPh-OASCMn_fJH3pfcoIkxyBKK2w?e=4y24IJ" TargetMode="External"/><Relationship Id="rId1" Type="http://schemas.openxmlformats.org/officeDocument/2006/relationships/hyperlink" Target="https://1drv.ms/f/c/239A224CB4F0FEA6/IgDRWRUJMfogR4PUmcnu_BwzAU0zOu2Viyem9qDJ7M9KtQM?e=QjLdVA" TargetMode="External"/><Relationship Id="rId6" Type="http://schemas.openxmlformats.org/officeDocument/2006/relationships/hyperlink" Target="https://1drv.ms/f/c/239A224CB4F0FEA6/IgDjY5LeZfz_SKoYduKVJKPoAawujaeHl1j4Fk_NjsuBWlM?e=IK4Mpr" TargetMode="External"/><Relationship Id="rId11" Type="http://schemas.openxmlformats.org/officeDocument/2006/relationships/hyperlink" Target="https://1drv.ms/f/c/239A224CB4F0FEA6/IgA2ye9qx5mKTYnjLnVCvltNATjUeQHWjUxInzWG3UM4-UM?e=AZ5BID" TargetMode="External"/><Relationship Id="rId24" Type="http://schemas.openxmlformats.org/officeDocument/2006/relationships/hyperlink" Target="https://1drv.ms/f/c/239A224CB4F0FEA6/IgBj3nEg7_nETZVOu5L8QwXkAXOgzPf693STTkWjBjDtlGY?e=EyYtfH" TargetMode="External"/><Relationship Id="rId5" Type="http://schemas.openxmlformats.org/officeDocument/2006/relationships/hyperlink" Target="https://1drv.ms/f/c/239A224CB4F0FEA6/IgA28RZNnDpjQYVO8d89hbeDAcYIQehhlaHwgTI-W5RAs3U?e=tsdciO" TargetMode="External"/><Relationship Id="rId15" Type="http://schemas.openxmlformats.org/officeDocument/2006/relationships/hyperlink" Target="https://1drv.ms/f/c/239A224CB4F0FEA6/IgBas8qxQ4Q7SaanEv-PhmCkAfNHBnIkYGNHkddP0ln1hXc?e=U0dsFh" TargetMode="External"/><Relationship Id="rId23" Type="http://schemas.openxmlformats.org/officeDocument/2006/relationships/hyperlink" Target="https://1drv.ms/f/c/239A224CB4F0FEA6/IgB9_v9n3TRTToBjUSOQMbezARzZK4Ijbdvu_pas4Gd64x8?e=I52yUt" TargetMode="External"/><Relationship Id="rId28" Type="http://schemas.openxmlformats.org/officeDocument/2006/relationships/hyperlink" Target="https://1drv.ms/f/c/239A224CB4F0FEA6/IgCdTbTNRhmSSJ3t6LarlNz-ASjjhweoDvSpbURbbm6aAGw?e=T8PeeJ" TargetMode="External"/><Relationship Id="rId10" Type="http://schemas.openxmlformats.org/officeDocument/2006/relationships/hyperlink" Target="https://1drv.ms/f/c/239A224CB4F0FEA6/IgDQuCDiqvv4Qqjb3iq_RvaoAfq_eRfxg3fVt-b-X7KyYw0?e=RWsslM" TargetMode="External"/><Relationship Id="rId19" Type="http://schemas.openxmlformats.org/officeDocument/2006/relationships/hyperlink" Target="https://1drv.ms/f/c/239A224CB4F0FEA6/IgBmd18AddkPQ7C8OMv0tzlvAZJYpzc0bDynOf2TcC6U644?e=tLKpPE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1drv.ms/f/c/239A224CB4F0FEA6/IgDJ5scomtI7SpQZDAjnIAjSAarlWXjnFz23xxcx4xqdjo8?e=x12l7X" TargetMode="External"/><Relationship Id="rId9" Type="http://schemas.openxmlformats.org/officeDocument/2006/relationships/hyperlink" Target="https://1drv.ms/f/c/239A224CB4F0FEA6/IgBc-p9FxqaLQJjFVPX_awuNAS5kG1V8sEycP054ez0GfOE?e=k7VWkl" TargetMode="External"/><Relationship Id="rId14" Type="http://schemas.openxmlformats.org/officeDocument/2006/relationships/hyperlink" Target="https://1drv.ms/f/c/239A224CB4F0FEA6/IgC5dCQ-AoRFS6UfcwCNcQPLAepGtQruYREl_Tle2n-QAyU?e=IEkaoD" TargetMode="External"/><Relationship Id="rId22" Type="http://schemas.openxmlformats.org/officeDocument/2006/relationships/hyperlink" Target="https://1drv.ms/f/c/239A224CB4F0FEA6/IgCxx2cZvjMPTI4PYp_tOj-WAScRClkq6cRvQFIvWJabRLQ?e=KCGPp7" TargetMode="External"/><Relationship Id="rId27" Type="http://schemas.openxmlformats.org/officeDocument/2006/relationships/hyperlink" Target="https://1drv.ms/f/c/239A224CB4F0FEA6/IgCc_JAGhiF7Q7pKr8GOerrAAW2dRE1_uNHC6Xwgi4rIato?e=BtP0gc" TargetMode="External"/><Relationship Id="rId30" Type="http://schemas.openxmlformats.org/officeDocument/2006/relationships/hyperlink" Target="https://1drv.ms/f/c/239A224CB4F0FEA6/IgAPYDseycEbQrUzQDm48LcJAV8cQsqU6J-k0QqfPrE-jBs?e=w8fN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6" workbookViewId="0">
      <selection activeCell="C35" sqref="C35"/>
    </sheetView>
  </sheetViews>
  <sheetFormatPr defaultRowHeight="15" x14ac:dyDescent="0.25"/>
  <cols>
    <col min="1" max="1" width="25" customWidth="1"/>
    <col min="2" max="3" width="12" customWidth="1"/>
    <col min="4" max="4" width="13.5703125" customWidth="1"/>
    <col min="5" max="5" width="50" customWidth="1"/>
    <col min="6" max="6" width="10.7109375" customWidth="1"/>
    <col min="7" max="7" width="15" customWidth="1"/>
    <col min="8" max="8" width="40" style="4" customWidth="1"/>
    <col min="9" max="9" width="30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0.24</v>
      </c>
      <c r="C2">
        <v>1</v>
      </c>
    </row>
    <row r="3" spans="1:10" x14ac:dyDescent="0.25">
      <c r="D3" t="s">
        <v>11</v>
      </c>
      <c r="E3" t="s">
        <v>12</v>
      </c>
      <c r="F3">
        <v>0.111</v>
      </c>
      <c r="H3" s="5" t="s">
        <v>76</v>
      </c>
      <c r="J3">
        <v>1</v>
      </c>
    </row>
    <row r="4" spans="1:10" x14ac:dyDescent="0.25">
      <c r="D4" t="s">
        <v>27</v>
      </c>
      <c r="E4" t="s">
        <v>19</v>
      </c>
      <c r="F4">
        <v>0.111</v>
      </c>
      <c r="G4" t="s">
        <v>13</v>
      </c>
      <c r="H4" s="5" t="s">
        <v>77</v>
      </c>
      <c r="J4">
        <v>2</v>
      </c>
    </row>
    <row r="5" spans="1:10" x14ac:dyDescent="0.25">
      <c r="D5" t="s">
        <v>28</v>
      </c>
      <c r="E5" t="s">
        <v>20</v>
      </c>
      <c r="F5">
        <v>0.111</v>
      </c>
      <c r="G5" t="s">
        <v>13</v>
      </c>
      <c r="H5" s="5" t="s">
        <v>78</v>
      </c>
      <c r="J5">
        <v>3</v>
      </c>
    </row>
    <row r="6" spans="1:10" x14ac:dyDescent="0.25">
      <c r="D6" t="s">
        <v>29</v>
      </c>
      <c r="E6" t="s">
        <v>21</v>
      </c>
      <c r="F6">
        <v>0.111</v>
      </c>
      <c r="G6" t="s">
        <v>13</v>
      </c>
      <c r="H6" s="5" t="s">
        <v>79</v>
      </c>
      <c r="J6">
        <v>4</v>
      </c>
    </row>
    <row r="7" spans="1:10" x14ac:dyDescent="0.25">
      <c r="D7" t="s">
        <v>30</v>
      </c>
      <c r="E7" t="s">
        <v>22</v>
      </c>
      <c r="F7">
        <v>0.111</v>
      </c>
      <c r="G7" t="s">
        <v>13</v>
      </c>
      <c r="H7" s="5" t="s">
        <v>80</v>
      </c>
      <c r="J7">
        <v>5</v>
      </c>
    </row>
    <row r="8" spans="1:10" x14ac:dyDescent="0.25">
      <c r="D8" t="s">
        <v>31</v>
      </c>
      <c r="E8" t="s">
        <v>23</v>
      </c>
      <c r="F8">
        <v>0.111</v>
      </c>
      <c r="G8" t="s">
        <v>13</v>
      </c>
      <c r="H8" s="5" t="s">
        <v>81</v>
      </c>
      <c r="J8">
        <v>6</v>
      </c>
    </row>
    <row r="9" spans="1:10" x14ac:dyDescent="0.25">
      <c r="D9" t="s">
        <v>32</v>
      </c>
      <c r="E9" t="s">
        <v>24</v>
      </c>
      <c r="F9">
        <v>0.111</v>
      </c>
      <c r="G9" t="s">
        <v>13</v>
      </c>
      <c r="H9" s="5" t="s">
        <v>82</v>
      </c>
      <c r="J9">
        <v>7</v>
      </c>
    </row>
    <row r="10" spans="1:10" x14ac:dyDescent="0.25">
      <c r="D10" t="s">
        <v>33</v>
      </c>
      <c r="E10" t="s">
        <v>25</v>
      </c>
      <c r="F10">
        <v>0.111</v>
      </c>
      <c r="G10" t="s">
        <v>13</v>
      </c>
      <c r="H10" s="5" t="s">
        <v>83</v>
      </c>
      <c r="J10">
        <v>8</v>
      </c>
    </row>
    <row r="11" spans="1:10" x14ac:dyDescent="0.25">
      <c r="D11" t="s">
        <v>34</v>
      </c>
      <c r="E11" t="s">
        <v>26</v>
      </c>
      <c r="F11">
        <v>0.111</v>
      </c>
      <c r="G11" t="s">
        <v>13</v>
      </c>
      <c r="H11" s="5" t="s">
        <v>84</v>
      </c>
      <c r="J11">
        <v>9</v>
      </c>
    </row>
    <row r="12" spans="1:10" x14ac:dyDescent="0.25">
      <c r="A12" t="s">
        <v>14</v>
      </c>
      <c r="B12">
        <v>0.25</v>
      </c>
      <c r="C12">
        <v>2</v>
      </c>
    </row>
    <row r="13" spans="1:10" x14ac:dyDescent="0.25">
      <c r="D13" t="s">
        <v>35</v>
      </c>
      <c r="E13" t="s">
        <v>36</v>
      </c>
      <c r="F13" s="2">
        <f>1/5</f>
        <v>0.2</v>
      </c>
      <c r="G13" t="s">
        <v>13</v>
      </c>
      <c r="H13" s="6" t="s">
        <v>85</v>
      </c>
      <c r="J13">
        <v>1</v>
      </c>
    </row>
    <row r="14" spans="1:10" x14ac:dyDescent="0.25">
      <c r="D14" t="s">
        <v>37</v>
      </c>
      <c r="E14" t="s">
        <v>38</v>
      </c>
      <c r="F14" s="2">
        <f t="shared" ref="F14:F17" si="0">1/5</f>
        <v>0.2</v>
      </c>
      <c r="G14" t="s">
        <v>13</v>
      </c>
      <c r="H14" s="6" t="s">
        <v>86</v>
      </c>
      <c r="J14">
        <v>2</v>
      </c>
    </row>
    <row r="15" spans="1:10" x14ac:dyDescent="0.25">
      <c r="D15" t="s">
        <v>39</v>
      </c>
      <c r="E15" t="s">
        <v>40</v>
      </c>
      <c r="F15" s="2">
        <f t="shared" si="0"/>
        <v>0.2</v>
      </c>
      <c r="G15" t="s">
        <v>13</v>
      </c>
      <c r="H15" s="6" t="s">
        <v>87</v>
      </c>
      <c r="J15">
        <v>3</v>
      </c>
    </row>
    <row r="16" spans="1:10" x14ac:dyDescent="0.25">
      <c r="D16" t="s">
        <v>41</v>
      </c>
      <c r="E16" t="s">
        <v>42</v>
      </c>
      <c r="F16" s="2">
        <f t="shared" si="0"/>
        <v>0.2</v>
      </c>
      <c r="G16" t="s">
        <v>13</v>
      </c>
      <c r="H16" s="6" t="s">
        <v>88</v>
      </c>
      <c r="J16">
        <v>4</v>
      </c>
    </row>
    <row r="17" spans="1:10" x14ac:dyDescent="0.25">
      <c r="D17" t="s">
        <v>43</v>
      </c>
      <c r="E17" t="s">
        <v>44</v>
      </c>
      <c r="F17" s="2">
        <f t="shared" si="0"/>
        <v>0.2</v>
      </c>
      <c r="G17" t="s">
        <v>13</v>
      </c>
      <c r="H17" s="6" t="s">
        <v>89</v>
      </c>
      <c r="J17">
        <v>5</v>
      </c>
    </row>
    <row r="18" spans="1:10" x14ac:dyDescent="0.25">
      <c r="A18" t="s">
        <v>15</v>
      </c>
      <c r="B18">
        <v>0.18</v>
      </c>
      <c r="C18">
        <v>3</v>
      </c>
      <c r="H18"/>
    </row>
    <row r="19" spans="1:10" x14ac:dyDescent="0.25">
      <c r="D19" t="s">
        <v>46</v>
      </c>
      <c r="E19" t="s">
        <v>47</v>
      </c>
      <c r="F19" s="2">
        <v>0.16666666666666666</v>
      </c>
      <c r="G19" t="s">
        <v>13</v>
      </c>
      <c r="H19" s="6" t="s">
        <v>90</v>
      </c>
      <c r="J19">
        <v>1</v>
      </c>
    </row>
    <row r="20" spans="1:10" x14ac:dyDescent="0.25">
      <c r="D20" t="s">
        <v>48</v>
      </c>
      <c r="E20" t="s">
        <v>49</v>
      </c>
      <c r="F20" s="2">
        <v>0.16666666666666666</v>
      </c>
      <c r="G20" t="s">
        <v>13</v>
      </c>
      <c r="H20" s="6" t="s">
        <v>91</v>
      </c>
      <c r="J20">
        <v>2</v>
      </c>
    </row>
    <row r="21" spans="1:10" x14ac:dyDescent="0.25">
      <c r="D21" t="s">
        <v>50</v>
      </c>
      <c r="E21" t="s">
        <v>51</v>
      </c>
      <c r="F21" s="2">
        <v>0.16666666666666666</v>
      </c>
      <c r="G21" t="s">
        <v>13</v>
      </c>
      <c r="H21" s="6" t="s">
        <v>92</v>
      </c>
      <c r="J21">
        <v>3</v>
      </c>
    </row>
    <row r="22" spans="1:10" x14ac:dyDescent="0.25">
      <c r="D22" t="s">
        <v>52</v>
      </c>
      <c r="E22" t="s">
        <v>53</v>
      </c>
      <c r="F22" s="2">
        <v>0.16666666666666666</v>
      </c>
      <c r="G22" t="s">
        <v>13</v>
      </c>
      <c r="H22" s="6" t="s">
        <v>93</v>
      </c>
      <c r="J22">
        <v>4</v>
      </c>
    </row>
    <row r="23" spans="1:10" x14ac:dyDescent="0.25">
      <c r="D23" t="s">
        <v>54</v>
      </c>
      <c r="E23" t="s">
        <v>55</v>
      </c>
      <c r="F23" s="2">
        <v>0.16666666666666666</v>
      </c>
      <c r="G23" t="s">
        <v>13</v>
      </c>
      <c r="H23" s="6" t="s">
        <v>94</v>
      </c>
      <c r="J23">
        <v>5</v>
      </c>
    </row>
    <row r="24" spans="1:10" x14ac:dyDescent="0.25">
      <c r="D24" t="s">
        <v>45</v>
      </c>
      <c r="E24" t="s">
        <v>56</v>
      </c>
      <c r="F24" s="2">
        <v>0.16666666666666666</v>
      </c>
      <c r="G24" t="s">
        <v>13</v>
      </c>
      <c r="H24" s="6" t="s">
        <v>95</v>
      </c>
      <c r="J24">
        <v>6</v>
      </c>
    </row>
    <row r="25" spans="1:10" x14ac:dyDescent="0.25">
      <c r="A25" t="s">
        <v>16</v>
      </c>
      <c r="B25">
        <v>0.11</v>
      </c>
      <c r="C25">
        <v>4</v>
      </c>
      <c r="H25"/>
    </row>
    <row r="26" spans="1:10" x14ac:dyDescent="0.25">
      <c r="D26" t="s">
        <v>57</v>
      </c>
      <c r="E26" t="s">
        <v>58</v>
      </c>
      <c r="F26" s="2">
        <v>0.25</v>
      </c>
      <c r="G26" t="s">
        <v>13</v>
      </c>
      <c r="H26" s="6" t="s">
        <v>98</v>
      </c>
      <c r="J26">
        <v>1</v>
      </c>
    </row>
    <row r="27" spans="1:10" x14ac:dyDescent="0.25">
      <c r="D27" t="s">
        <v>59</v>
      </c>
      <c r="E27" t="s">
        <v>60</v>
      </c>
      <c r="F27" s="2">
        <v>0.25</v>
      </c>
      <c r="G27" t="s">
        <v>13</v>
      </c>
      <c r="H27" s="6" t="s">
        <v>99</v>
      </c>
      <c r="J27">
        <v>2</v>
      </c>
    </row>
    <row r="28" spans="1:10" x14ac:dyDescent="0.25">
      <c r="D28" t="s">
        <v>61</v>
      </c>
      <c r="E28" t="s">
        <v>96</v>
      </c>
      <c r="F28" s="2">
        <v>0.25</v>
      </c>
      <c r="G28" t="s">
        <v>13</v>
      </c>
      <c r="H28" s="6" t="s">
        <v>97</v>
      </c>
      <c r="J28">
        <v>3</v>
      </c>
    </row>
    <row r="29" spans="1:10" x14ac:dyDescent="0.25">
      <c r="D29" t="s">
        <v>62</v>
      </c>
      <c r="E29" t="s">
        <v>63</v>
      </c>
      <c r="F29" s="2">
        <v>0.25</v>
      </c>
      <c r="G29" t="s">
        <v>13</v>
      </c>
      <c r="H29" s="6" t="s">
        <v>100</v>
      </c>
      <c r="J29">
        <v>4</v>
      </c>
    </row>
    <row r="30" spans="1:10" x14ac:dyDescent="0.25">
      <c r="A30" t="s">
        <v>17</v>
      </c>
      <c r="B30">
        <v>0.1</v>
      </c>
      <c r="C30">
        <v>5</v>
      </c>
      <c r="F30" s="2"/>
      <c r="H30"/>
    </row>
    <row r="31" spans="1:10" x14ac:dyDescent="0.25">
      <c r="D31" t="s">
        <v>64</v>
      </c>
      <c r="E31" t="s">
        <v>65</v>
      </c>
      <c r="F31" s="2">
        <f>1/4</f>
        <v>0.25</v>
      </c>
      <c r="G31" t="s">
        <v>13</v>
      </c>
      <c r="H31" s="6" t="s">
        <v>101</v>
      </c>
      <c r="J31">
        <v>1</v>
      </c>
    </row>
    <row r="32" spans="1:10" x14ac:dyDescent="0.25">
      <c r="D32" t="s">
        <v>66</v>
      </c>
      <c r="E32" t="s">
        <v>67</v>
      </c>
      <c r="F32" s="2">
        <f t="shared" ref="F32:F34" si="1">1/4</f>
        <v>0.25</v>
      </c>
      <c r="G32" t="s">
        <v>13</v>
      </c>
      <c r="H32" s="6" t="s">
        <v>102</v>
      </c>
      <c r="J32">
        <v>2</v>
      </c>
    </row>
    <row r="33" spans="1:10" x14ac:dyDescent="0.25">
      <c r="D33" t="s">
        <v>68</v>
      </c>
      <c r="E33" t="s">
        <v>69</v>
      </c>
      <c r="F33" s="2">
        <f t="shared" si="1"/>
        <v>0.25</v>
      </c>
      <c r="G33" t="s">
        <v>13</v>
      </c>
      <c r="H33" s="6" t="s">
        <v>103</v>
      </c>
      <c r="J33">
        <v>3</v>
      </c>
    </row>
    <row r="34" spans="1:10" x14ac:dyDescent="0.25">
      <c r="D34" t="s">
        <v>70</v>
      </c>
      <c r="E34" t="s">
        <v>71</v>
      </c>
      <c r="F34" s="2">
        <f t="shared" si="1"/>
        <v>0.25</v>
      </c>
      <c r="G34" t="s">
        <v>13</v>
      </c>
      <c r="H34" s="6" t="s">
        <v>104</v>
      </c>
      <c r="J34">
        <v>4</v>
      </c>
    </row>
    <row r="35" spans="1:10" x14ac:dyDescent="0.25">
      <c r="A35" t="s">
        <v>18</v>
      </c>
      <c r="B35">
        <v>0.12</v>
      </c>
      <c r="C35">
        <v>6</v>
      </c>
      <c r="H35"/>
    </row>
    <row r="36" spans="1:10" x14ac:dyDescent="0.25">
      <c r="D36" t="s">
        <v>72</v>
      </c>
      <c r="E36" t="s">
        <v>73</v>
      </c>
      <c r="F36" s="2">
        <f>1/2</f>
        <v>0.5</v>
      </c>
      <c r="G36" t="s">
        <v>13</v>
      </c>
      <c r="H36" s="6" t="s">
        <v>105</v>
      </c>
      <c r="J36">
        <v>1</v>
      </c>
    </row>
    <row r="37" spans="1:10" x14ac:dyDescent="0.25">
      <c r="D37" t="s">
        <v>74</v>
      </c>
      <c r="E37" t="s">
        <v>75</v>
      </c>
      <c r="F37" s="2">
        <f>1/2</f>
        <v>0.5</v>
      </c>
      <c r="G37" t="s">
        <v>13</v>
      </c>
      <c r="H37" s="6" t="s">
        <v>106</v>
      </c>
      <c r="J37">
        <v>2</v>
      </c>
    </row>
  </sheetData>
  <hyperlinks>
    <hyperlink ref="H3" r:id="rId1" xr:uid="{C4AD3712-92AB-4531-A9CB-B3ECFD806F5B}"/>
    <hyperlink ref="H4" r:id="rId2" xr:uid="{44355A41-3462-428A-A475-C55977C1ECFD}"/>
    <hyperlink ref="H5" r:id="rId3" xr:uid="{2E657F9A-18C9-4398-9918-1E2E7C8FCE87}"/>
    <hyperlink ref="H6" r:id="rId4" xr:uid="{796F29F4-9EF3-4B54-B0C1-35AAC89A9CC1}"/>
    <hyperlink ref="H7" r:id="rId5" xr:uid="{DBA80DAA-C9EC-46FC-9BD3-75C95625526F}"/>
    <hyperlink ref="H8" r:id="rId6" xr:uid="{D0AFF869-FD1C-4EF5-AB09-E6FEAA544FD4}"/>
    <hyperlink ref="H9" r:id="rId7" xr:uid="{0C79E447-6FB9-4C5E-80C9-77893B8890D0}"/>
    <hyperlink ref="H10" r:id="rId8" xr:uid="{C2B8C72C-B2EE-4EEA-ADAF-AD5F6C62AD1E}"/>
    <hyperlink ref="H11" r:id="rId9" xr:uid="{A0256199-60D7-40FF-A563-399DDBE9D3FD}"/>
    <hyperlink ref="H13" r:id="rId10" xr:uid="{17D298EF-4F8E-4575-8995-FB32499DEB51}"/>
    <hyperlink ref="H14" r:id="rId11" xr:uid="{21DEC453-44F2-42C6-916E-8AB0B76CC089}"/>
    <hyperlink ref="H15" r:id="rId12" xr:uid="{6E4F2D76-57A6-4059-97F0-813F00F72DF3}"/>
    <hyperlink ref="H16" r:id="rId13" xr:uid="{57E1F67B-C2AC-45E6-8F47-A0ED214A764C}"/>
    <hyperlink ref="H17" r:id="rId14" xr:uid="{1F95564F-48E9-49AB-B7DF-E10737E0DE32}"/>
    <hyperlink ref="H19" r:id="rId15" xr:uid="{7D0EC2F6-0C6F-4783-8F5F-A5F802B1FB31}"/>
    <hyperlink ref="H20" r:id="rId16" xr:uid="{FED2D0D5-A085-4453-8700-1700D6D2530A}"/>
    <hyperlink ref="H21" r:id="rId17" xr:uid="{3967F614-D53C-4FE1-A43E-A645A7225064}"/>
    <hyperlink ref="H22" r:id="rId18" xr:uid="{34FB5001-B21C-42FF-9C7F-C447E5DD5878}"/>
    <hyperlink ref="H23" r:id="rId19" xr:uid="{9AB5D9AC-B3A1-4E29-AE12-3B542417C088}"/>
    <hyperlink ref="H24" r:id="rId20" xr:uid="{7B9CB20A-4113-45B8-9648-43B3E90EEAC2}"/>
    <hyperlink ref="H28" r:id="rId21" xr:uid="{BDD6C194-D76D-40D7-9348-AA406F72F327}"/>
    <hyperlink ref="H26" r:id="rId22" xr:uid="{8FE38ED3-8287-4CF9-A779-F3735B32150F}"/>
    <hyperlink ref="H27" r:id="rId23" xr:uid="{89F45713-F745-4922-BB5B-B631415E77F9}"/>
    <hyperlink ref="H29" r:id="rId24" xr:uid="{88402928-436B-4953-9C6B-AACDFE13AF18}"/>
    <hyperlink ref="H31" r:id="rId25" xr:uid="{8A1813FE-D775-4051-922E-74DB7FC7009D}"/>
    <hyperlink ref="H32" r:id="rId26" xr:uid="{59D2BDF2-CAE8-4557-8727-BC0DA91DCD57}"/>
    <hyperlink ref="H33" r:id="rId27" xr:uid="{85EFB42A-0D3C-4AA1-B2F0-8FC4843D0711}"/>
    <hyperlink ref="H34" r:id="rId28" xr:uid="{0F1EC49A-6530-45AF-999E-3B98287C3D9B}"/>
    <hyperlink ref="H36" r:id="rId29" xr:uid="{0214464D-233B-4269-829E-1912B7666A05}"/>
    <hyperlink ref="H37" r:id="rId30" xr:uid="{96D693C7-F47B-4BB8-A674-9B3F1431F231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IPDS 7205</cp:lastModifiedBy>
  <dcterms:created xsi:type="dcterms:W3CDTF">2026-05-15T23:35:57Z</dcterms:created>
  <dcterms:modified xsi:type="dcterms:W3CDTF">2026-05-16T00:35:54Z</dcterms:modified>
  <cp:category/>
</cp:coreProperties>
</file>